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ck_excavation" sheetId="1" r:id="rId4"/>
    <sheet state="visible" name="Masonry 0+020 - 0+200 cross sec" sheetId="2" r:id="rId5"/>
    <sheet state="visible" name="Open drain 0+000 - 0+145 cross " sheetId="3" r:id="rId6"/>
    <sheet state="visible" name="Open drain 0+600 - 0+720 cross " sheetId="4" r:id="rId7"/>
  </sheets>
  <definedNames/>
  <calcPr/>
</workbook>
</file>

<file path=xl/sharedStrings.xml><?xml version="1.0" encoding="utf-8"?>
<sst xmlns="http://schemas.openxmlformats.org/spreadsheetml/2006/main" count="63" uniqueCount="62">
  <si>
    <t>Station</t>
  </si>
  <si>
    <t>Cut Area</t>
  </si>
  <si>
    <t>Cut Volume</t>
  </si>
  <si>
    <t>Fill Volume</t>
  </si>
  <si>
    <t>Remarks</t>
  </si>
  <si>
    <t>Corrected Cut Volumes</t>
  </si>
  <si>
    <t>TOTAL</t>
  </si>
  <si>
    <t>Average 
Excavation Area</t>
  </si>
  <si>
    <t>Total Excavation 
volume</t>
  </si>
  <si>
    <t>Increased quantities</t>
  </si>
  <si>
    <r>
      <rPr>
        <rFont val="Times New Roman"/>
        <b/>
        <color theme="1"/>
        <sz val="12.0"/>
      </rPr>
      <t>Nbr</t>
    </r>
  </si>
  <si>
    <r>
      <rPr>
        <rFont val="Times New Roman"/>
        <b/>
        <color theme="1"/>
        <sz val="12.0"/>
      </rPr>
      <t>Station</t>
    </r>
  </si>
  <si>
    <r>
      <rPr>
        <rFont val="Times New Roman"/>
        <b/>
        <color theme="1"/>
        <sz val="12.0"/>
      </rPr>
      <t>Depth</t>
    </r>
  </si>
  <si>
    <r>
      <rPr>
        <rFont val="Times New Roman"/>
        <b/>
        <color theme="1"/>
        <sz val="12.0"/>
      </rPr>
      <t>Area</t>
    </r>
  </si>
  <si>
    <r>
      <rPr>
        <rFont val="Times New Roman"/>
        <b/>
        <color theme="1"/>
        <sz val="12.0"/>
      </rPr>
      <t>Area of excavation</t>
    </r>
  </si>
  <si>
    <r>
      <rPr>
        <rFont val="Times New Roman"/>
        <b/>
        <color theme="1"/>
        <sz val="12.0"/>
      </rPr>
      <t>Concrete</t>
    </r>
  </si>
  <si>
    <r>
      <rPr>
        <rFont val="Arial"/>
        <color theme="1"/>
        <sz val="12.0"/>
      </rPr>
      <t>0+020</t>
    </r>
  </si>
  <si>
    <r>
      <rPr>
        <rFont val="Arial"/>
        <color theme="1"/>
        <sz val="12.0"/>
      </rPr>
      <t>0+040</t>
    </r>
  </si>
  <si>
    <r>
      <rPr>
        <rFont val="Arial"/>
        <color theme="1"/>
        <sz val="12.0"/>
      </rPr>
      <t>0+060</t>
    </r>
  </si>
  <si>
    <r>
      <rPr>
        <rFont val="Arial"/>
        <color theme="1"/>
        <sz val="12.0"/>
      </rPr>
      <t>0+080</t>
    </r>
  </si>
  <si>
    <r>
      <rPr>
        <rFont val="Arial"/>
        <color theme="1"/>
        <sz val="12.0"/>
      </rPr>
      <t>0+100</t>
    </r>
  </si>
  <si>
    <r>
      <rPr>
        <rFont val="Arial"/>
        <color theme="1"/>
        <sz val="12.0"/>
      </rPr>
      <t>0+120</t>
    </r>
  </si>
  <si>
    <r>
      <rPr>
        <rFont val="Arial"/>
        <color theme="1"/>
        <sz val="12.0"/>
      </rPr>
      <t>0+140</t>
    </r>
  </si>
  <si>
    <r>
      <rPr>
        <rFont val="Arial"/>
        <color theme="1"/>
        <sz val="12.0"/>
      </rPr>
      <t>0+160</t>
    </r>
  </si>
  <si>
    <r>
      <rPr>
        <rFont val="Arial"/>
        <color theme="1"/>
        <sz val="12.0"/>
      </rPr>
      <t>0+180</t>
    </r>
  </si>
  <si>
    <r>
      <rPr>
        <rFont val="Arial"/>
        <color theme="1"/>
        <sz val="12.0"/>
      </rPr>
      <t>0+200</t>
    </r>
  </si>
  <si>
    <r>
      <rPr>
        <rFont val="Times New Roman"/>
        <color rgb="FF000000"/>
        <sz val="12.0"/>
      </rPr>
      <t xml:space="preserve">Masonry Volume
</t>
    </r>
    <r>
      <rPr>
        <rFont val="Times New Roman"/>
        <color rgb="FF000000"/>
        <sz val="12.0"/>
      </rPr>
      <t>(m3)</t>
    </r>
  </si>
  <si>
    <r>
      <rPr>
        <rFont val="Times New Roman"/>
        <color rgb="FF000000"/>
        <sz val="12.0"/>
      </rPr>
      <t>Excavation (</t>
    </r>
    <r>
      <rPr>
        <rFont val="Times New Roman"/>
        <color rgb="FF000000"/>
        <sz val="12.0"/>
      </rPr>
      <t>m3)</t>
    </r>
  </si>
  <si>
    <r>
      <rPr>
        <rFont val="Times New Roman"/>
        <color rgb="FF000000"/>
        <sz val="12.0"/>
      </rPr>
      <t xml:space="preserve">Concrete C20 </t>
    </r>
    <r>
      <rPr>
        <rFont val="Times New Roman"/>
        <color rgb="FF000000"/>
        <sz val="12.0"/>
      </rPr>
      <t>(m3)</t>
    </r>
  </si>
  <si>
    <r>
      <rPr>
        <rFont val="Times New Roman"/>
        <b/>
        <color theme="1"/>
        <sz val="12.0"/>
      </rPr>
      <t>Nbr</t>
    </r>
  </si>
  <si>
    <r>
      <rPr>
        <rFont val="Times New Roman"/>
        <b/>
        <color theme="1"/>
        <sz val="12.0"/>
      </rPr>
      <t>Station</t>
    </r>
  </si>
  <si>
    <r>
      <rPr>
        <rFont val="Times New Roman"/>
        <b/>
        <color theme="1"/>
        <sz val="12.0"/>
      </rPr>
      <t>Depth</t>
    </r>
  </si>
  <si>
    <r>
      <rPr>
        <rFont val="Times New Roman"/>
        <b/>
        <color theme="1"/>
        <sz val="12.0"/>
      </rPr>
      <t>Area</t>
    </r>
  </si>
  <si>
    <r>
      <rPr>
        <rFont val="Times New Roman"/>
        <b/>
        <color theme="1"/>
        <sz val="12.0"/>
      </rPr>
      <t>Area of excavation</t>
    </r>
  </si>
  <si>
    <r>
      <rPr>
        <rFont val="Times New Roman"/>
        <b/>
        <color theme="1"/>
        <sz val="12.0"/>
      </rPr>
      <t>Concrete</t>
    </r>
  </si>
  <si>
    <r>
      <rPr>
        <rFont val="Times New Roman"/>
        <color theme="1"/>
        <sz val="12.0"/>
      </rPr>
      <t>0+000</t>
    </r>
  </si>
  <si>
    <r>
      <rPr>
        <rFont val="Times New Roman"/>
        <color theme="1"/>
        <sz val="12.0"/>
      </rPr>
      <t>0+020</t>
    </r>
  </si>
  <si>
    <r>
      <rPr>
        <rFont val="Times New Roman"/>
        <color theme="1"/>
        <sz val="12.0"/>
      </rPr>
      <t>0+040</t>
    </r>
  </si>
  <si>
    <r>
      <rPr>
        <rFont val="Times New Roman"/>
        <color theme="1"/>
        <sz val="12.0"/>
      </rPr>
      <t>0+060</t>
    </r>
  </si>
  <si>
    <r>
      <rPr>
        <rFont val="Times New Roman"/>
        <color theme="1"/>
        <sz val="12.0"/>
      </rPr>
      <t>0+080</t>
    </r>
  </si>
  <si>
    <r>
      <rPr>
        <rFont val="Times New Roman"/>
        <color theme="1"/>
        <sz val="12.0"/>
      </rPr>
      <t>0+100</t>
    </r>
  </si>
  <si>
    <r>
      <rPr>
        <rFont val="Times New Roman"/>
        <color theme="1"/>
        <sz val="12.0"/>
      </rPr>
      <t>0+120</t>
    </r>
  </si>
  <si>
    <r>
      <rPr>
        <rFont val="Times New Roman"/>
        <color theme="1"/>
        <sz val="12.0"/>
      </rPr>
      <t>0+145</t>
    </r>
  </si>
  <si>
    <t xml:space="preserve">Masonry
Volume (m3)
</t>
  </si>
  <si>
    <t>Excavation (m3)</t>
  </si>
  <si>
    <t>Concrete C20 
(m3)</t>
  </si>
  <si>
    <r>
      <rPr>
        <rFont val="Times New Roman"/>
        <b/>
        <color theme="1"/>
        <sz val="12.0"/>
      </rPr>
      <t>Nbr</t>
    </r>
  </si>
  <si>
    <r>
      <rPr>
        <rFont val="Times New Roman"/>
        <b/>
        <color theme="1"/>
        <sz val="12.0"/>
      </rPr>
      <t>Station</t>
    </r>
  </si>
  <si>
    <r>
      <rPr>
        <rFont val="Times New Roman"/>
        <b/>
        <color theme="1"/>
        <sz val="12.0"/>
      </rPr>
      <t>Depth</t>
    </r>
  </si>
  <si>
    <r>
      <rPr>
        <rFont val="Times New Roman"/>
        <b/>
        <color theme="1"/>
        <sz val="12.0"/>
      </rPr>
      <t>Area</t>
    </r>
  </si>
  <si>
    <r>
      <rPr>
        <rFont val="Times New Roman"/>
        <b/>
        <color theme="1"/>
        <sz val="12.0"/>
      </rPr>
      <t>Area of excavation</t>
    </r>
  </si>
  <si>
    <r>
      <rPr>
        <rFont val="Times New Roman"/>
        <b/>
        <color theme="1"/>
        <sz val="12.0"/>
      </rPr>
      <t>Concrete</t>
    </r>
  </si>
  <si>
    <r>
      <rPr>
        <rFont val="Times New Roman"/>
        <color theme="1"/>
        <sz val="12.0"/>
      </rPr>
      <t>0+600</t>
    </r>
  </si>
  <si>
    <r>
      <rPr>
        <rFont val="Times New Roman"/>
        <color theme="1"/>
        <sz val="12.0"/>
      </rPr>
      <t>0+620</t>
    </r>
  </si>
  <si>
    <r>
      <rPr>
        <rFont val="Times New Roman"/>
        <color theme="1"/>
        <sz val="12.0"/>
      </rPr>
      <t>0+640</t>
    </r>
  </si>
  <si>
    <r>
      <rPr>
        <rFont val="Times New Roman"/>
        <color theme="1"/>
        <sz val="12.0"/>
      </rPr>
      <t>0+660</t>
    </r>
  </si>
  <si>
    <r>
      <rPr>
        <rFont val="Times New Roman"/>
        <color theme="1"/>
        <sz val="12.0"/>
      </rPr>
      <t>0+680</t>
    </r>
  </si>
  <si>
    <r>
      <rPr>
        <rFont val="Times New Roman"/>
        <color theme="1"/>
        <sz val="12.0"/>
      </rPr>
      <t>0+700</t>
    </r>
  </si>
  <si>
    <r>
      <rPr>
        <rFont val="Times New Roman"/>
        <color theme="1"/>
        <sz val="12.0"/>
      </rPr>
      <t>0+720</t>
    </r>
  </si>
  <si>
    <r>
      <rPr>
        <rFont val="Times New Roman"/>
        <b/>
        <color rgb="FF000000"/>
        <sz val="12.0"/>
      </rPr>
      <t xml:space="preserve">Masonry
</t>
    </r>
    <r>
      <rPr>
        <rFont val="Times New Roman"/>
        <b/>
        <color rgb="FF000000"/>
        <sz val="12.0"/>
      </rPr>
      <t>VolU1Tie (m3)</t>
    </r>
  </si>
  <si>
    <r>
      <rPr>
        <rFont val="Times New Roman"/>
        <b/>
        <color rgb="FF000000"/>
        <sz val="12.0"/>
      </rPr>
      <t xml:space="preserve">Excavation
</t>
    </r>
    <r>
      <rPr>
        <rFont val="Times New Roman"/>
        <b/>
        <color rgb="FF000000"/>
        <sz val="12.0"/>
      </rPr>
      <t>(m3)</t>
    </r>
  </si>
  <si>
    <r>
      <rPr>
        <rFont val="Times New Roman"/>
        <b/>
        <color theme="1"/>
        <sz val="12.0"/>
      </rPr>
      <t>Concrete C20 (m3)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</si>
</sst>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0.0"/>
      <color rgb="FF000000"/>
      <name val="Arial"/>
    </font>
    <font>
      <b/>
      <color theme="1"/>
      <name val="Arial"/>
    </font>
    <font>
      <b/>
    </font>
    <font/>
    <font>
      <i/>
      <color theme="1"/>
      <name val="Arial"/>
    </font>
    <font>
      <color rgb="FFFF0000"/>
    </font>
    <font>
      <color theme="1"/>
      <name val="Arial"/>
    </font>
    <font>
      <b/>
      <color rgb="FFFF0000"/>
    </font>
    <font>
      <b/>
      <sz val="12.0"/>
      <color theme="1"/>
      <name val="&quot;Times New Roman&quot;"/>
    </font>
    <font>
      <sz val="12.0"/>
      <name val="Calibri"/>
    </font>
    <font>
      <sz val="12.0"/>
      <color rgb="FF000000"/>
      <name val="Arial"/>
    </font>
    <font>
      <sz val="12.0"/>
      <color theme="1"/>
      <name val="Arial"/>
    </font>
    <font>
      <sz val="12.0"/>
      <color rgb="FF000000"/>
      <name val="&quot;Times New Roman&quot;"/>
    </font>
    <font>
      <sz val="12.0"/>
    </font>
    <font>
      <b/>
      <sz val="12.0"/>
      <color rgb="FF000000"/>
      <name val="&quot;Times New Roman&quot;"/>
    </font>
    <font>
      <sz val="12.0"/>
      <color theme="1"/>
      <name val="&quot;Times New Roman&quot;"/>
    </font>
    <font>
      <b/>
      <sz val="12.0"/>
    </font>
    <font>
      <sz val="17.0"/>
      <color rgb="FF000000"/>
      <name val="&quot;Times New Roman&quot;"/>
    </font>
    <font>
      <color theme="1"/>
      <name val="Calibri"/>
    </font>
    <font>
      <b/>
      <sz val="12.0"/>
      <name val="Calibri"/>
    </font>
    <font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Border="1" applyFont="1"/>
    <xf borderId="1" fillId="0" fontId="3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5" numFmtId="0" xfId="0" applyAlignment="1" applyBorder="1" applyFont="1">
      <alignment readingOrder="0"/>
    </xf>
    <xf borderId="1" fillId="0" fontId="1" numFmtId="2" xfId="0" applyBorder="1" applyFont="1" applyNumberFormat="1"/>
    <xf borderId="1" fillId="0" fontId="1" numFmtId="0" xfId="0" applyBorder="1" applyFont="1"/>
    <xf borderId="1" fillId="0" fontId="6" numFmtId="10" xfId="0" applyBorder="1" applyFont="1" applyNumberForma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vertical="bottom"/>
    </xf>
    <xf borderId="1" fillId="0" fontId="10" numFmtId="1" xfId="0" applyAlignment="1" applyBorder="1" applyFont="1" applyNumberFormat="1">
      <alignment horizontal="center" vertical="top"/>
    </xf>
    <xf borderId="1" fillId="0" fontId="11" numFmtId="0" xfId="0" applyAlignment="1" applyBorder="1" applyFont="1">
      <alignment shrinkToFit="0" vertical="top" wrapText="1"/>
    </xf>
    <xf borderId="1" fillId="0" fontId="10" numFmtId="2" xfId="0" applyAlignment="1" applyBorder="1" applyFont="1" applyNumberFormat="1">
      <alignment horizontal="center" vertical="top"/>
    </xf>
    <xf borderId="1" fillId="0" fontId="10" numFmtId="164" xfId="0" applyAlignment="1" applyBorder="1" applyFont="1" applyNumberFormat="1">
      <alignment horizontal="center" vertical="top"/>
    </xf>
    <xf borderId="1" fillId="0" fontId="12" numFmtId="164" xfId="0" applyAlignment="1" applyBorder="1" applyFont="1" applyNumberFormat="1">
      <alignment horizontal="center" vertical="top"/>
    </xf>
    <xf borderId="1" fillId="0" fontId="12" numFmtId="1" xfId="0" applyAlignment="1" applyBorder="1" applyFont="1" applyNumberFormat="1">
      <alignment horizontal="center" vertical="top"/>
    </xf>
    <xf borderId="1" fillId="0" fontId="13" numFmtId="0" xfId="0" applyBorder="1" applyFont="1"/>
    <xf borderId="1" fillId="0" fontId="9" numFmtId="0" xfId="0" applyBorder="1" applyFont="1"/>
    <xf borderId="1" fillId="0" fontId="12" numFmtId="0" xfId="0" applyAlignment="1" applyBorder="1" applyFont="1">
      <alignment horizontal="center" shrinkToFit="0" vertical="top" wrapText="1"/>
    </xf>
    <xf borderId="1" fillId="0" fontId="12" numFmtId="2" xfId="0" applyAlignment="1" applyBorder="1" applyFont="1" applyNumberFormat="1">
      <alignment horizontal="center"/>
    </xf>
    <xf borderId="1" fillId="0" fontId="9" numFmtId="0" xfId="0" applyAlignment="1" applyBorder="1" applyFont="1">
      <alignment vertical="top"/>
    </xf>
    <xf borderId="1" fillId="0" fontId="12" numFmtId="2" xfId="0" applyAlignment="1" applyBorder="1" applyFont="1" applyNumberFormat="1">
      <alignment horizontal="center" vertical="top"/>
    </xf>
    <xf borderId="1" fillId="0" fontId="12" numFmtId="0" xfId="0" applyAlignment="1" applyBorder="1" applyFont="1">
      <alignment shrinkToFit="0" wrapText="1"/>
    </xf>
    <xf borderId="1" fillId="0" fontId="12" numFmtId="1" xfId="0" applyAlignment="1" applyBorder="1" applyFont="1" applyNumberFormat="1">
      <alignment horizontal="center"/>
    </xf>
    <xf borderId="1" fillId="0" fontId="14" numFmtId="1" xfId="0" applyAlignment="1" applyBorder="1" applyFont="1" applyNumberFormat="1">
      <alignment horizontal="center" vertical="top"/>
    </xf>
    <xf borderId="1" fillId="0" fontId="15" numFmtId="0" xfId="0" applyAlignment="1" applyBorder="1" applyFont="1">
      <alignment horizontal="center" shrinkToFit="0" vertical="top" wrapText="1"/>
    </xf>
    <xf borderId="1" fillId="0" fontId="16" numFmtId="0" xfId="0" applyBorder="1" applyFont="1"/>
    <xf borderId="1" fillId="0" fontId="14" numFmtId="0" xfId="0" applyAlignment="1" applyBorder="1" applyFont="1">
      <alignment horizontal="center" readingOrder="0" shrinkToFit="0" vertical="top" wrapText="1"/>
    </xf>
    <xf borderId="1" fillId="0" fontId="12" numFmtId="2" xfId="0" applyAlignment="1" applyBorder="1" applyFont="1" applyNumberFormat="1">
      <alignment vertical="top"/>
    </xf>
    <xf borderId="1" fillId="0" fontId="12" numFmtId="2" xfId="0" applyBorder="1" applyFont="1" applyNumberFormat="1"/>
    <xf borderId="1" fillId="2" fontId="14" numFmtId="0" xfId="0" applyAlignment="1" applyBorder="1" applyFill="1" applyFont="1">
      <alignment horizontal="center" readingOrder="0"/>
    </xf>
    <xf borderId="1" fillId="0" fontId="12" numFmtId="1" xfId="0" applyAlignment="1" applyBorder="1" applyFont="1" applyNumberFormat="1">
      <alignment horizontal="center" vertical="bottom"/>
    </xf>
    <xf borderId="0" fillId="0" fontId="17" numFmtId="1" xfId="0" applyAlignment="1" applyFont="1" applyNumberFormat="1">
      <alignment horizontal="center" vertical="bottom"/>
    </xf>
    <xf borderId="0" fillId="0" fontId="18" numFmtId="0" xfId="0" applyAlignment="1" applyFont="1">
      <alignment vertical="top"/>
    </xf>
    <xf borderId="1" fillId="0" fontId="19" numFmtId="0" xfId="0" applyAlignment="1" applyBorder="1" applyFont="1">
      <alignment vertical="bottom"/>
    </xf>
    <xf borderId="1" fillId="0" fontId="14" numFmtId="0" xfId="0" applyAlignment="1" applyBorder="1" applyFont="1">
      <alignment horizontal="center" shrinkToFit="0" vertical="top" wrapText="1"/>
    </xf>
    <xf borderId="0" fillId="0" fontId="2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7" max="7" width="20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3" t="s">
        <v>4</v>
      </c>
      <c r="G1" s="3" t="s">
        <v>5</v>
      </c>
    </row>
    <row r="2">
      <c r="A2" s="4">
        <v>0.0</v>
      </c>
      <c r="B2" s="3">
        <v>4.921</v>
      </c>
      <c r="C2" s="3">
        <v>0.0</v>
      </c>
      <c r="D2" s="3">
        <v>0.0</v>
      </c>
      <c r="E2" s="3">
        <v>0.0</v>
      </c>
      <c r="F2" s="5"/>
      <c r="G2" s="6"/>
    </row>
    <row r="3">
      <c r="A3" s="4">
        <v>20.0</v>
      </c>
      <c r="B3" s="3">
        <v>9.654</v>
      </c>
      <c r="C3" s="7">
        <f t="shared" ref="C3:C25" si="1">((B3+B2)/2)*20</f>
        <v>145.75</v>
      </c>
      <c r="D3" s="3">
        <v>0.0</v>
      </c>
      <c r="E3" s="3">
        <v>0.0</v>
      </c>
      <c r="F3" s="5"/>
      <c r="G3" s="8">
        <f t="shared" ref="G3:G12" si="2">((B3+B2)/2)*20</f>
        <v>145.75</v>
      </c>
    </row>
    <row r="4">
      <c r="A4" s="4">
        <v>40.0</v>
      </c>
      <c r="B4" s="3">
        <v>16.734</v>
      </c>
      <c r="C4" s="7">
        <f t="shared" si="1"/>
        <v>263.88</v>
      </c>
      <c r="D4" s="3">
        <v>0.0</v>
      </c>
      <c r="E4" s="3">
        <v>0.0</v>
      </c>
      <c r="F4" s="5"/>
      <c r="G4" s="8">
        <f t="shared" si="2"/>
        <v>263.88</v>
      </c>
    </row>
    <row r="5">
      <c r="A5" s="4">
        <v>60.0</v>
      </c>
      <c r="B5" s="3">
        <v>23.586</v>
      </c>
      <c r="C5" s="7">
        <f t="shared" si="1"/>
        <v>403.2</v>
      </c>
      <c r="D5" s="3">
        <v>0.0</v>
      </c>
      <c r="E5" s="3">
        <v>0.0</v>
      </c>
      <c r="F5" s="5"/>
      <c r="G5" s="8">
        <f t="shared" si="2"/>
        <v>403.2</v>
      </c>
    </row>
    <row r="6">
      <c r="A6" s="4">
        <v>80.0</v>
      </c>
      <c r="B6" s="3">
        <v>29.192</v>
      </c>
      <c r="C6" s="7">
        <f t="shared" si="1"/>
        <v>527.78</v>
      </c>
      <c r="D6" s="3">
        <v>0.0</v>
      </c>
      <c r="E6" s="3">
        <v>0.0</v>
      </c>
      <c r="F6" s="5"/>
      <c r="G6" s="8">
        <f t="shared" si="2"/>
        <v>527.78</v>
      </c>
    </row>
    <row r="7">
      <c r="A7" s="4">
        <v>100.0</v>
      </c>
      <c r="B7" s="3">
        <v>33.961</v>
      </c>
      <c r="C7" s="7">
        <f t="shared" si="1"/>
        <v>631.53</v>
      </c>
      <c r="D7" s="3">
        <v>0.0</v>
      </c>
      <c r="E7" s="3">
        <v>0.0</v>
      </c>
      <c r="F7" s="5"/>
      <c r="G7" s="8">
        <f t="shared" si="2"/>
        <v>631.53</v>
      </c>
    </row>
    <row r="8">
      <c r="A8" s="4">
        <v>120.0</v>
      </c>
      <c r="B8" s="3">
        <v>36.988</v>
      </c>
      <c r="C8" s="7">
        <f t="shared" si="1"/>
        <v>709.49</v>
      </c>
      <c r="D8" s="3">
        <v>0.0</v>
      </c>
      <c r="E8" s="3">
        <v>0.0</v>
      </c>
      <c r="F8" s="5"/>
      <c r="G8" s="8">
        <f t="shared" si="2"/>
        <v>709.49</v>
      </c>
    </row>
    <row r="9">
      <c r="A9" s="4">
        <v>140.0</v>
      </c>
      <c r="B9" s="3">
        <v>38.46</v>
      </c>
      <c r="C9" s="7">
        <f t="shared" si="1"/>
        <v>754.48</v>
      </c>
      <c r="D9" s="3">
        <v>0.0</v>
      </c>
      <c r="E9" s="3">
        <v>0.0</v>
      </c>
      <c r="F9" s="5"/>
      <c r="G9" s="8">
        <f t="shared" si="2"/>
        <v>754.48</v>
      </c>
    </row>
    <row r="10">
      <c r="A10" s="4">
        <v>160.0</v>
      </c>
      <c r="B10" s="3">
        <v>40.435</v>
      </c>
      <c r="C10" s="7">
        <f t="shared" si="1"/>
        <v>788.95</v>
      </c>
      <c r="D10" s="3">
        <v>0.0</v>
      </c>
      <c r="E10" s="3">
        <v>0.0</v>
      </c>
      <c r="F10" s="5"/>
      <c r="G10" s="8">
        <f t="shared" si="2"/>
        <v>788.95</v>
      </c>
    </row>
    <row r="11">
      <c r="A11" s="4">
        <v>180.0</v>
      </c>
      <c r="B11" s="3">
        <v>42.545</v>
      </c>
      <c r="C11" s="7">
        <f t="shared" si="1"/>
        <v>829.8</v>
      </c>
      <c r="D11" s="3">
        <v>0.0</v>
      </c>
      <c r="E11" s="3">
        <v>0.0</v>
      </c>
      <c r="F11" s="5"/>
      <c r="G11" s="8">
        <f t="shared" si="2"/>
        <v>829.8</v>
      </c>
    </row>
    <row r="12">
      <c r="A12" s="4">
        <v>200.0</v>
      </c>
      <c r="B12" s="3">
        <v>45.692</v>
      </c>
      <c r="C12" s="7">
        <f t="shared" si="1"/>
        <v>882.37</v>
      </c>
      <c r="D12" s="3">
        <v>0.0</v>
      </c>
      <c r="E12" s="3">
        <v>0.0</v>
      </c>
      <c r="F12" s="5"/>
      <c r="G12" s="8">
        <f t="shared" si="2"/>
        <v>882.37</v>
      </c>
    </row>
    <row r="13">
      <c r="A13" s="4">
        <v>220.0</v>
      </c>
      <c r="B13" s="2">
        <v>159.482</v>
      </c>
      <c r="C13" s="1">
        <f t="shared" si="1"/>
        <v>2051.74</v>
      </c>
      <c r="D13" s="3">
        <v>0.0</v>
      </c>
      <c r="E13" s="3">
        <v>0.0</v>
      </c>
      <c r="F13" s="9">
        <v>53.338</v>
      </c>
      <c r="G13" s="8">
        <f>((B12+F13)/2)*20</f>
        <v>990.3</v>
      </c>
    </row>
    <row r="14">
      <c r="A14" s="4">
        <v>240.0</v>
      </c>
      <c r="B14" s="3">
        <v>51.471</v>
      </c>
      <c r="C14" s="1">
        <f t="shared" si="1"/>
        <v>2109.53</v>
      </c>
      <c r="D14" s="3">
        <v>0.0</v>
      </c>
      <c r="E14" s="3">
        <v>0.0</v>
      </c>
      <c r="F14" s="5"/>
      <c r="G14" s="8">
        <f>((F13+B14)/2)*20</f>
        <v>1048.09</v>
      </c>
    </row>
    <row r="15">
      <c r="A15" s="4">
        <v>260.0</v>
      </c>
      <c r="B15" s="2">
        <v>96.051</v>
      </c>
      <c r="C15" s="1">
        <f t="shared" si="1"/>
        <v>1475.22</v>
      </c>
      <c r="D15" s="3">
        <v>0.0</v>
      </c>
      <c r="E15" s="3">
        <v>0.0</v>
      </c>
      <c r="F15" s="9">
        <v>47.832</v>
      </c>
      <c r="G15" s="8">
        <f>((B14+F15)/2)*20</f>
        <v>993.03</v>
      </c>
    </row>
    <row r="16">
      <c r="A16" s="4">
        <v>280.0</v>
      </c>
      <c r="B16" s="3">
        <v>47.123</v>
      </c>
      <c r="C16" s="1">
        <f t="shared" si="1"/>
        <v>1431.74</v>
      </c>
      <c r="D16" s="3">
        <v>0.0</v>
      </c>
      <c r="E16" s="3">
        <v>0.0</v>
      </c>
      <c r="F16" s="5"/>
      <c r="G16" s="8">
        <f>((F15+B15)/2)*20</f>
        <v>1438.83</v>
      </c>
    </row>
    <row r="17">
      <c r="A17" s="4">
        <v>300.0</v>
      </c>
      <c r="B17" s="3">
        <v>44.325</v>
      </c>
      <c r="C17" s="7">
        <f t="shared" si="1"/>
        <v>914.48</v>
      </c>
      <c r="D17" s="3">
        <v>0.0</v>
      </c>
      <c r="E17" s="3">
        <v>0.0</v>
      </c>
      <c r="F17" s="5"/>
      <c r="G17" s="8">
        <f t="shared" ref="G17:G25" si="3">((B17+B16)/2)*20</f>
        <v>914.48</v>
      </c>
    </row>
    <row r="18">
      <c r="A18" s="4">
        <v>320.0</v>
      </c>
      <c r="B18" s="3">
        <v>42.103</v>
      </c>
      <c r="C18" s="7">
        <f t="shared" si="1"/>
        <v>864.28</v>
      </c>
      <c r="D18" s="3">
        <v>0.0</v>
      </c>
      <c r="E18" s="3">
        <v>0.0</v>
      </c>
      <c r="F18" s="5"/>
      <c r="G18" s="8">
        <f t="shared" si="3"/>
        <v>864.28</v>
      </c>
    </row>
    <row r="19">
      <c r="A19" s="4">
        <v>340.0</v>
      </c>
      <c r="B19" s="3">
        <v>38.648</v>
      </c>
      <c r="C19" s="7">
        <f t="shared" si="1"/>
        <v>807.51</v>
      </c>
      <c r="D19" s="3">
        <v>0.0</v>
      </c>
      <c r="E19" s="3">
        <v>0.0</v>
      </c>
      <c r="F19" s="5"/>
      <c r="G19" s="8">
        <f t="shared" si="3"/>
        <v>807.51</v>
      </c>
    </row>
    <row r="20">
      <c r="A20" s="4">
        <v>360.0</v>
      </c>
      <c r="B20" s="3">
        <v>30.423</v>
      </c>
      <c r="C20" s="7">
        <f t="shared" si="1"/>
        <v>690.71</v>
      </c>
      <c r="D20" s="3">
        <v>0.0</v>
      </c>
      <c r="E20" s="3">
        <v>0.0</v>
      </c>
      <c r="F20" s="5"/>
      <c r="G20" s="8">
        <f t="shared" si="3"/>
        <v>690.71</v>
      </c>
    </row>
    <row r="21">
      <c r="A21" s="4">
        <v>380.0</v>
      </c>
      <c r="B21" s="3">
        <v>23.767</v>
      </c>
      <c r="C21" s="7">
        <f t="shared" si="1"/>
        <v>541.9</v>
      </c>
      <c r="D21" s="3">
        <v>0.0</v>
      </c>
      <c r="E21" s="3">
        <v>0.0</v>
      </c>
      <c r="F21" s="5"/>
      <c r="G21" s="8">
        <f t="shared" si="3"/>
        <v>541.9</v>
      </c>
    </row>
    <row r="22">
      <c r="A22" s="4">
        <v>400.0</v>
      </c>
      <c r="B22" s="3">
        <v>17.756</v>
      </c>
      <c r="C22" s="7">
        <f t="shared" si="1"/>
        <v>415.23</v>
      </c>
      <c r="D22" s="3">
        <v>0.0</v>
      </c>
      <c r="E22" s="3">
        <v>0.0</v>
      </c>
      <c r="F22" s="5"/>
      <c r="G22" s="8">
        <f t="shared" si="3"/>
        <v>415.23</v>
      </c>
    </row>
    <row r="23">
      <c r="A23" s="4">
        <v>420.0</v>
      </c>
      <c r="B23" s="3">
        <v>12.775</v>
      </c>
      <c r="C23" s="7">
        <f t="shared" si="1"/>
        <v>305.31</v>
      </c>
      <c r="D23" s="3">
        <v>0.0</v>
      </c>
      <c r="E23" s="3">
        <v>0.0</v>
      </c>
      <c r="F23" s="5"/>
      <c r="G23" s="8">
        <f t="shared" si="3"/>
        <v>305.31</v>
      </c>
    </row>
    <row r="24">
      <c r="A24" s="4">
        <v>440.0</v>
      </c>
      <c r="B24" s="3">
        <v>9.097</v>
      </c>
      <c r="C24" s="7">
        <f t="shared" si="1"/>
        <v>218.72</v>
      </c>
      <c r="D24" s="3">
        <v>0.0</v>
      </c>
      <c r="E24" s="3">
        <v>0.0</v>
      </c>
      <c r="F24" s="5"/>
      <c r="G24" s="8">
        <f t="shared" si="3"/>
        <v>218.72</v>
      </c>
    </row>
    <row r="25">
      <c r="A25" s="4">
        <v>460.0</v>
      </c>
      <c r="B25" s="3">
        <v>6.602</v>
      </c>
      <c r="C25" s="7">
        <f t="shared" si="1"/>
        <v>156.99</v>
      </c>
      <c r="D25" s="3">
        <v>0.0</v>
      </c>
      <c r="E25" s="3">
        <v>0.0</v>
      </c>
      <c r="F25" s="5"/>
      <c r="G25" s="8">
        <f t="shared" si="3"/>
        <v>156.99</v>
      </c>
    </row>
    <row r="26">
      <c r="A26" s="1" t="s">
        <v>6</v>
      </c>
      <c r="B26" s="10">
        <f>AVERAGE(B2:B25)</f>
        <v>37.574625</v>
      </c>
      <c r="C26" s="10">
        <f>SUM(C2:C25)</f>
        <v>17920.59</v>
      </c>
      <c r="D26" s="6"/>
      <c r="E26" s="6"/>
      <c r="F26" s="5"/>
      <c r="G26" s="11">
        <f>SUM(G3:G25)</f>
        <v>15322.61</v>
      </c>
    </row>
    <row r="27">
      <c r="A27" s="8"/>
      <c r="B27" s="3" t="s">
        <v>7</v>
      </c>
      <c r="C27" s="3" t="s">
        <v>8</v>
      </c>
      <c r="D27" s="6"/>
      <c r="E27" s="6"/>
      <c r="F27" s="5"/>
      <c r="G27" s="12">
        <f>((C26-G26)/C26)</f>
        <v>0.1449717894</v>
      </c>
    </row>
    <row r="28">
      <c r="G28" s="1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4" t="s">
        <v>10</v>
      </c>
      <c r="B1" s="15" t="s">
        <v>11</v>
      </c>
      <c r="C1" s="14" t="s">
        <v>12</v>
      </c>
      <c r="D1" s="14" t="s">
        <v>13</v>
      </c>
      <c r="E1" s="16" t="s">
        <v>14</v>
      </c>
      <c r="F1" s="14" t="s">
        <v>15</v>
      </c>
    </row>
    <row r="2">
      <c r="A2" s="17"/>
      <c r="B2" s="17"/>
      <c r="C2" s="17"/>
      <c r="D2" s="17"/>
      <c r="E2" s="17"/>
      <c r="F2" s="17"/>
    </row>
    <row r="3">
      <c r="A3" s="18">
        <v>1.0</v>
      </c>
      <c r="B3" s="19" t="s">
        <v>16</v>
      </c>
      <c r="C3" s="20">
        <v>1.76</v>
      </c>
      <c r="D3" s="21">
        <v>2.8</v>
      </c>
      <c r="E3" s="20">
        <v>5.28</v>
      </c>
      <c r="F3" s="22">
        <v>0.2</v>
      </c>
    </row>
    <row r="4">
      <c r="A4" s="23">
        <v>2.0</v>
      </c>
      <c r="B4" s="19" t="s">
        <v>17</v>
      </c>
      <c r="C4" s="22">
        <v>2.4</v>
      </c>
      <c r="D4" s="20">
        <v>3.66</v>
      </c>
      <c r="E4" s="22">
        <v>7.2</v>
      </c>
      <c r="F4" s="22">
        <v>0.2</v>
      </c>
    </row>
    <row r="5">
      <c r="A5" s="23">
        <v>3.0</v>
      </c>
      <c r="B5" s="19" t="s">
        <v>18</v>
      </c>
      <c r="C5" s="20">
        <v>2.89</v>
      </c>
      <c r="D5" s="20">
        <v>4.36</v>
      </c>
      <c r="E5" s="20">
        <v>8.67</v>
      </c>
      <c r="F5" s="22">
        <v>0.2</v>
      </c>
    </row>
    <row r="6">
      <c r="A6" s="23">
        <v>4.0</v>
      </c>
      <c r="B6" s="19" t="s">
        <v>19</v>
      </c>
      <c r="C6" s="20">
        <v>3.11</v>
      </c>
      <c r="D6" s="20">
        <v>4.68</v>
      </c>
      <c r="E6" s="20">
        <v>9.33</v>
      </c>
      <c r="F6" s="22">
        <v>0.2</v>
      </c>
    </row>
    <row r="7">
      <c r="A7" s="18">
        <v>5.0</v>
      </c>
      <c r="B7" s="19" t="s">
        <v>20</v>
      </c>
      <c r="C7" s="20">
        <v>3.17</v>
      </c>
      <c r="D7" s="21">
        <v>4.8</v>
      </c>
      <c r="E7" s="20">
        <v>9.51</v>
      </c>
      <c r="F7" s="22">
        <v>0.2</v>
      </c>
    </row>
    <row r="8">
      <c r="A8" s="23">
        <v>6.0</v>
      </c>
      <c r="B8" s="19" t="s">
        <v>21</v>
      </c>
      <c r="C8" s="20">
        <v>3.03</v>
      </c>
      <c r="D8" s="20">
        <v>4.54</v>
      </c>
      <c r="E8" s="20">
        <v>9.09</v>
      </c>
      <c r="F8" s="22">
        <v>0.2</v>
      </c>
    </row>
    <row r="9">
      <c r="A9" s="23">
        <v>7.0</v>
      </c>
      <c r="B9" s="19" t="s">
        <v>22</v>
      </c>
      <c r="C9" s="20">
        <v>2.74</v>
      </c>
      <c r="D9" s="22">
        <v>4.2</v>
      </c>
      <c r="E9" s="20">
        <v>8.22</v>
      </c>
      <c r="F9" s="22">
        <v>0.2</v>
      </c>
    </row>
    <row r="10">
      <c r="A10" s="18">
        <v>8.0</v>
      </c>
      <c r="B10" s="19" t="s">
        <v>23</v>
      </c>
      <c r="C10" s="20">
        <v>2.55</v>
      </c>
      <c r="D10" s="23">
        <v>4.0</v>
      </c>
      <c r="E10" s="20">
        <v>7.65</v>
      </c>
      <c r="F10" s="22">
        <v>0.2</v>
      </c>
    </row>
    <row r="11">
      <c r="A11" s="18">
        <v>9.0</v>
      </c>
      <c r="B11" s="19" t="s">
        <v>24</v>
      </c>
      <c r="C11" s="20">
        <v>2.53</v>
      </c>
      <c r="D11" s="23">
        <v>4.0</v>
      </c>
      <c r="E11" s="20">
        <v>7.59</v>
      </c>
      <c r="F11" s="22">
        <v>0.2</v>
      </c>
    </row>
    <row r="12">
      <c r="A12" s="18">
        <v>10.0</v>
      </c>
      <c r="B12" s="19" t="s">
        <v>25</v>
      </c>
      <c r="C12" s="20">
        <v>2.64</v>
      </c>
      <c r="D12" s="23">
        <v>4.0</v>
      </c>
      <c r="E12" s="20">
        <v>7.92</v>
      </c>
      <c r="F12" s="22">
        <v>0.2</v>
      </c>
    </row>
    <row r="13">
      <c r="A13" s="24"/>
      <c r="B13" s="24"/>
      <c r="C13" s="24"/>
      <c r="D13" s="20">
        <v>41.04</v>
      </c>
      <c r="E13" s="20">
        <v>80.46</v>
      </c>
      <c r="F13" s="25"/>
    </row>
    <row r="14">
      <c r="A14" s="26" t="s">
        <v>26</v>
      </c>
      <c r="B14" s="24"/>
      <c r="C14" s="24"/>
      <c r="D14" s="27">
        <v>738.72</v>
      </c>
      <c r="E14" s="28"/>
      <c r="F14" s="28"/>
    </row>
    <row r="15">
      <c r="A15" s="26" t="s">
        <v>27</v>
      </c>
      <c r="B15" s="24"/>
      <c r="C15" s="24"/>
      <c r="D15" s="28"/>
      <c r="E15" s="29">
        <v>1448.28</v>
      </c>
      <c r="F15" s="28"/>
    </row>
    <row r="16">
      <c r="A16" s="30" t="s">
        <v>28</v>
      </c>
      <c r="B16" s="24"/>
      <c r="C16" s="24"/>
      <c r="D16" s="28"/>
      <c r="E16" s="28"/>
      <c r="F16" s="31">
        <v>36.0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0"/>
  </cols>
  <sheetData>
    <row r="1">
      <c r="A1" s="14" t="s">
        <v>29</v>
      </c>
      <c r="B1" s="14" t="s">
        <v>30</v>
      </c>
      <c r="C1" s="14" t="s">
        <v>31</v>
      </c>
      <c r="D1" s="14" t="s">
        <v>32</v>
      </c>
      <c r="E1" s="16" t="s">
        <v>33</v>
      </c>
      <c r="F1" s="14" t="s">
        <v>34</v>
      </c>
    </row>
    <row r="2">
      <c r="A2" s="32">
        <v>1.0</v>
      </c>
      <c r="B2" s="33" t="s">
        <v>35</v>
      </c>
      <c r="C2" s="29">
        <v>2.05</v>
      </c>
      <c r="D2" s="22">
        <v>3.2</v>
      </c>
      <c r="E2" s="29">
        <v>6.15</v>
      </c>
      <c r="F2" s="22">
        <v>0.2</v>
      </c>
    </row>
    <row r="3">
      <c r="A3" s="32">
        <v>2.0</v>
      </c>
      <c r="B3" s="33" t="s">
        <v>36</v>
      </c>
      <c r="C3" s="29">
        <v>1.61</v>
      </c>
      <c r="D3" s="22">
        <v>2.6</v>
      </c>
      <c r="E3" s="29">
        <v>4.83</v>
      </c>
      <c r="F3" s="22">
        <v>0.2</v>
      </c>
    </row>
    <row r="4">
      <c r="A4" s="32">
        <v>3.0</v>
      </c>
      <c r="B4" s="33" t="s">
        <v>37</v>
      </c>
      <c r="C4" s="29">
        <v>1.36</v>
      </c>
      <c r="D4" s="29">
        <v>1.94</v>
      </c>
      <c r="E4" s="29">
        <v>4.08</v>
      </c>
      <c r="F4" s="22">
        <v>0.2</v>
      </c>
    </row>
    <row r="5">
      <c r="A5" s="32">
        <v>4.0</v>
      </c>
      <c r="B5" s="33" t="s">
        <v>38</v>
      </c>
      <c r="C5" s="29">
        <v>0.96</v>
      </c>
      <c r="D5" s="29">
        <v>1.86</v>
      </c>
      <c r="E5" s="29">
        <v>2.88</v>
      </c>
      <c r="F5" s="22">
        <v>0.2</v>
      </c>
    </row>
    <row r="6">
      <c r="A6" s="32">
        <v>5.0</v>
      </c>
      <c r="B6" s="33" t="s">
        <v>39</v>
      </c>
      <c r="C6" s="22">
        <v>0.9</v>
      </c>
      <c r="D6" s="29">
        <v>1.56</v>
      </c>
      <c r="E6" s="22">
        <v>2.7</v>
      </c>
      <c r="F6" s="22">
        <v>0.2</v>
      </c>
    </row>
    <row r="7">
      <c r="A7" s="32">
        <v>6.0</v>
      </c>
      <c r="B7" s="33" t="s">
        <v>40</v>
      </c>
      <c r="C7" s="29">
        <v>1.02</v>
      </c>
      <c r="D7" s="29">
        <v>1.74</v>
      </c>
      <c r="E7" s="29">
        <v>3.06</v>
      </c>
      <c r="F7" s="22">
        <v>0.2</v>
      </c>
    </row>
    <row r="8">
      <c r="A8" s="32">
        <v>7.0</v>
      </c>
      <c r="B8" s="33" t="s">
        <v>41</v>
      </c>
      <c r="C8" s="29">
        <v>1.24</v>
      </c>
      <c r="D8" s="22">
        <v>2.2</v>
      </c>
      <c r="E8" s="29">
        <v>3.72</v>
      </c>
      <c r="F8" s="22">
        <v>0.2</v>
      </c>
    </row>
    <row r="9">
      <c r="A9" s="32">
        <v>8.0</v>
      </c>
      <c r="B9" s="33" t="s">
        <v>42</v>
      </c>
      <c r="C9" s="29">
        <v>1.36</v>
      </c>
      <c r="D9" s="22">
        <v>2.2</v>
      </c>
      <c r="E9" s="29">
        <v>4.08</v>
      </c>
      <c r="F9" s="22">
        <v>0.2</v>
      </c>
    </row>
    <row r="10">
      <c r="A10" s="34"/>
      <c r="B10" s="24"/>
      <c r="C10" s="24"/>
      <c r="D10" s="22">
        <v>17.3</v>
      </c>
      <c r="E10" s="22">
        <v>31.5</v>
      </c>
      <c r="F10" s="17"/>
    </row>
    <row r="11">
      <c r="A11" s="35" t="s">
        <v>43</v>
      </c>
      <c r="B11" s="24"/>
      <c r="C11" s="24"/>
      <c r="D11" s="36">
        <v>250.85</v>
      </c>
      <c r="E11" s="24"/>
      <c r="F11" s="24"/>
    </row>
    <row r="12">
      <c r="A12" s="35" t="s">
        <v>44</v>
      </c>
      <c r="B12" s="24"/>
      <c r="C12" s="24"/>
      <c r="D12" s="24"/>
      <c r="E12" s="37">
        <v>456.75</v>
      </c>
      <c r="F12" s="24"/>
    </row>
    <row r="13">
      <c r="A13" s="38" t="s">
        <v>45</v>
      </c>
      <c r="B13" s="24"/>
      <c r="C13" s="24"/>
      <c r="D13" s="36"/>
      <c r="E13" s="37"/>
      <c r="F13" s="39">
        <v>29.0</v>
      </c>
    </row>
    <row r="14">
      <c r="F14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4" t="s">
        <v>46</v>
      </c>
      <c r="B1" s="14" t="s">
        <v>47</v>
      </c>
      <c r="C1" s="14" t="s">
        <v>48</v>
      </c>
      <c r="D1" s="14" t="s">
        <v>49</v>
      </c>
      <c r="E1" s="16" t="s">
        <v>50</v>
      </c>
      <c r="F1" s="15" t="s">
        <v>51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2"/>
      <c r="B2" s="17"/>
      <c r="C2" s="17"/>
      <c r="D2" s="17"/>
      <c r="E2" s="17"/>
      <c r="F2" s="17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32">
        <v>1.0</v>
      </c>
      <c r="B3" s="33" t="s">
        <v>52</v>
      </c>
      <c r="C3" s="29">
        <v>1.45</v>
      </c>
      <c r="D3" s="22">
        <v>2.4</v>
      </c>
      <c r="E3" s="29">
        <v>4.35</v>
      </c>
      <c r="F3" s="22">
        <v>0.2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32">
        <v>2.0</v>
      </c>
      <c r="B4" s="33" t="s">
        <v>53</v>
      </c>
      <c r="C4" s="29">
        <v>1.76</v>
      </c>
      <c r="D4" s="22">
        <v>2.8</v>
      </c>
      <c r="E4" s="29">
        <v>5.28</v>
      </c>
      <c r="F4" s="22">
        <v>0.2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32">
        <v>3.0</v>
      </c>
      <c r="B5" s="33" t="s">
        <v>54</v>
      </c>
      <c r="C5" s="29">
        <v>1.97</v>
      </c>
      <c r="D5" s="29">
        <v>3.06</v>
      </c>
      <c r="E5" s="29">
        <v>5.91</v>
      </c>
      <c r="F5" s="22">
        <v>0.2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32">
        <v>4.0</v>
      </c>
      <c r="B6" s="33" t="s">
        <v>55</v>
      </c>
      <c r="C6" s="29">
        <v>2.38</v>
      </c>
      <c r="D6" s="29">
        <v>3.64</v>
      </c>
      <c r="E6" s="29">
        <v>7.14</v>
      </c>
      <c r="F6" s="22">
        <v>0.2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32">
        <v>5.0</v>
      </c>
      <c r="B7" s="33" t="s">
        <v>56</v>
      </c>
      <c r="C7" s="29">
        <v>2.49</v>
      </c>
      <c r="D7" s="22">
        <v>3.8</v>
      </c>
      <c r="E7" s="29">
        <v>7.47</v>
      </c>
      <c r="F7" s="22">
        <v>0.2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32">
        <v>6.0</v>
      </c>
      <c r="B8" s="33" t="s">
        <v>57</v>
      </c>
      <c r="C8" s="29">
        <v>2.09</v>
      </c>
      <c r="D8" s="22">
        <v>3.2</v>
      </c>
      <c r="E8" s="29">
        <v>6.27</v>
      </c>
      <c r="F8" s="22">
        <v>0.2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32">
        <v>7.0</v>
      </c>
      <c r="B9" s="33" t="s">
        <v>58</v>
      </c>
      <c r="C9" s="29">
        <v>1.79</v>
      </c>
      <c r="D9" s="22">
        <v>2.8</v>
      </c>
      <c r="E9" s="29">
        <v>5.37</v>
      </c>
      <c r="F9" s="22">
        <v>0.2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34"/>
      <c r="B10" s="24"/>
      <c r="C10" s="24"/>
      <c r="D10" s="22">
        <v>21.7</v>
      </c>
      <c r="E10" s="29">
        <v>41.79</v>
      </c>
      <c r="F10" s="24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43" t="s">
        <v>59</v>
      </c>
      <c r="B11" s="28"/>
      <c r="C11" s="28"/>
      <c r="D11" s="22">
        <v>260.4</v>
      </c>
      <c r="E11" s="28"/>
      <c r="F11" s="28"/>
      <c r="G11" s="41"/>
      <c r="H11" s="44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43" t="s">
        <v>60</v>
      </c>
      <c r="B12" s="28"/>
      <c r="C12" s="28"/>
      <c r="D12" s="28"/>
      <c r="E12" s="37">
        <v>501.48</v>
      </c>
      <c r="F12" s="28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16" t="s">
        <v>61</v>
      </c>
      <c r="B13" s="28"/>
      <c r="C13" s="28"/>
      <c r="D13" s="28"/>
      <c r="E13" s="28"/>
      <c r="F13" s="31">
        <v>24.0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</sheetData>
  <drawing r:id="rId1"/>
</worksheet>
</file>